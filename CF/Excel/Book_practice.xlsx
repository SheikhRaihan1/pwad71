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ampp\htdocs\pwad_71_class\CF\Excel\"/>
    </mc:Choice>
  </mc:AlternateContent>
  <bookViews>
    <workbookView xWindow="0" yWindow="0" windowWidth="1920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40" i="1"/>
  <c r="H41" i="1"/>
  <c r="H43" i="1"/>
  <c r="H45" i="1"/>
  <c r="H46" i="1"/>
  <c r="H47" i="1"/>
  <c r="H38" i="1"/>
  <c r="G39" i="1"/>
  <c r="G40" i="1"/>
  <c r="G41" i="1"/>
  <c r="G44" i="1"/>
  <c r="G45" i="1"/>
  <c r="G46" i="1"/>
  <c r="G47" i="1"/>
  <c r="G38" i="1"/>
  <c r="F39" i="1"/>
  <c r="F40" i="1"/>
  <c r="F41" i="1"/>
  <c r="F42" i="1"/>
  <c r="H42" i="1" s="1"/>
  <c r="F43" i="1"/>
  <c r="G43" i="1" s="1"/>
  <c r="F44" i="1"/>
  <c r="H44" i="1" s="1"/>
  <c r="F45" i="1"/>
  <c r="F46" i="1"/>
  <c r="F47" i="1"/>
  <c r="F38" i="1"/>
  <c r="G42" i="1" l="1"/>
  <c r="E13" i="1" l="1"/>
  <c r="E14" i="1"/>
  <c r="E15" i="1"/>
  <c r="E16" i="1"/>
  <c r="E12" i="1"/>
  <c r="D12" i="1"/>
  <c r="D13" i="1"/>
  <c r="D14" i="1"/>
  <c r="D15" i="1"/>
  <c r="D16" i="1"/>
  <c r="E4" i="1"/>
  <c r="E5" i="1"/>
  <c r="E6" i="1"/>
  <c r="E3" i="1"/>
</calcChain>
</file>

<file path=xl/sharedStrings.xml><?xml version="1.0" encoding="utf-8"?>
<sst xmlns="http://schemas.openxmlformats.org/spreadsheetml/2006/main" count="61" uniqueCount="41">
  <si>
    <t>SN</t>
  </si>
  <si>
    <t>Month</t>
  </si>
  <si>
    <t>Income</t>
  </si>
  <si>
    <t>Expenses</t>
  </si>
  <si>
    <t>Saving</t>
  </si>
  <si>
    <t>January</t>
  </si>
  <si>
    <t>February</t>
  </si>
  <si>
    <t>March</t>
  </si>
  <si>
    <t>April</t>
  </si>
  <si>
    <t>Total</t>
  </si>
  <si>
    <t>Name</t>
  </si>
  <si>
    <t>Sales Target (TK)</t>
  </si>
  <si>
    <t>Sales Achieve (TK)</t>
  </si>
  <si>
    <t>Sales Achieve %</t>
  </si>
  <si>
    <t>10% Commission of Total Sale (if 80% Achieved)</t>
  </si>
  <si>
    <t>Raju</t>
  </si>
  <si>
    <t>Mohon</t>
  </si>
  <si>
    <t>Shimu</t>
  </si>
  <si>
    <t>Rana</t>
  </si>
  <si>
    <t>Rimon</t>
  </si>
  <si>
    <t>MCQ (50)</t>
  </si>
  <si>
    <t>Evidence (50)</t>
  </si>
  <si>
    <t>Total (100)</t>
  </si>
  <si>
    <t>Pass/Fail</t>
  </si>
  <si>
    <t>Grade</t>
  </si>
  <si>
    <t>Farhana</t>
  </si>
  <si>
    <t>Mahim</t>
  </si>
  <si>
    <t>Sabrina</t>
  </si>
  <si>
    <t>Sohel</t>
  </si>
  <si>
    <t>Rima</t>
  </si>
  <si>
    <t>Fahim</t>
  </si>
  <si>
    <t>Liza</t>
  </si>
  <si>
    <t>Anik</t>
  </si>
  <si>
    <t>Priya</t>
  </si>
  <si>
    <t>Salman</t>
  </si>
  <si>
    <t>A</t>
  </si>
  <si>
    <t>A+</t>
  </si>
  <si>
    <t>A-</t>
  </si>
  <si>
    <t>B</t>
  </si>
  <si>
    <t>Fail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</si>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</sst>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NumberFormat="1"/>
    <xf numFmtId="0" fontId="2" fillId="7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63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8"/>
  <sheetViews>
    <sheetView tabSelected="1" topLeftCell="A49" workbookViewId="0">
      <selection activeCell="J21" sqref="J21"/>
    </sheetView>
  </sheetViews>
  <sheetFormatPr defaultRowHeight="15" x14ac:dyDescent="0.25"/>
  <cols>
    <col min="1" max="4" width="12.85546875" customWidth="1"/>
    <col min="5" max="5" width="32.28515625" customWidth="1"/>
    <col min="7" max="7" width="11.140625" customWidth="1"/>
  </cols>
  <sheetData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2">
        <v>1</v>
      </c>
      <c r="B3" s="2" t="s">
        <v>5</v>
      </c>
      <c r="C3" s="2">
        <v>12000</v>
      </c>
      <c r="D3" s="2">
        <v>8000</v>
      </c>
      <c r="E3" s="2">
        <f>IF(C3-D3&gt;0,C3-D3,0)</f>
        <v>4000</v>
      </c>
    </row>
    <row r="4" spans="1:5" x14ac:dyDescent="0.25">
      <c r="A4" s="2">
        <v>2</v>
      </c>
      <c r="B4" s="2" t="s">
        <v>6</v>
      </c>
      <c r="C4" s="2">
        <v>18000</v>
      </c>
      <c r="D4" s="2">
        <v>12000</v>
      </c>
      <c r="E4" s="2">
        <f t="shared" ref="E4:E7" si="0">IF(C4-D4&gt;0,C4-D4,0)</f>
        <v>6000</v>
      </c>
    </row>
    <row r="5" spans="1:5" x14ac:dyDescent="0.25">
      <c r="A5" s="2">
        <v>3</v>
      </c>
      <c r="B5" s="2" t="s">
        <v>7</v>
      </c>
      <c r="C5" s="2">
        <v>15000</v>
      </c>
      <c r="D5" s="2">
        <v>23000</v>
      </c>
      <c r="E5" s="2">
        <f t="shared" si="0"/>
        <v>0</v>
      </c>
    </row>
    <row r="6" spans="1:5" x14ac:dyDescent="0.25">
      <c r="A6" s="2">
        <v>4</v>
      </c>
      <c r="B6" s="2" t="s">
        <v>8</v>
      </c>
      <c r="C6" s="2">
        <v>14000</v>
      </c>
      <c r="D6" s="2">
        <v>11000</v>
      </c>
      <c r="E6" s="2">
        <f t="shared" si="0"/>
        <v>3000</v>
      </c>
    </row>
    <row r="7" spans="1:5" x14ac:dyDescent="0.25">
      <c r="A7" s="2"/>
      <c r="B7" s="2" t="s">
        <v>9</v>
      </c>
      <c r="C7" s="2"/>
      <c r="D7" s="2"/>
      <c r="E7" s="2"/>
    </row>
    <row r="11" spans="1:5" ht="78.75" x14ac:dyDescent="0.25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14</v>
      </c>
    </row>
    <row r="12" spans="1:5" ht="15.75" x14ac:dyDescent="0.25">
      <c r="A12" s="4" t="s">
        <v>15</v>
      </c>
      <c r="B12" s="4">
        <v>5000</v>
      </c>
      <c r="C12" s="4">
        <v>4800</v>
      </c>
      <c r="D12" s="5">
        <f t="shared" ref="D12:D16" si="1">C12/B12*100</f>
        <v>96</v>
      </c>
      <c r="E12" s="1">
        <f>IF(D12&gt;=80,C12*0.1,0)</f>
        <v>480</v>
      </c>
    </row>
    <row r="13" spans="1:5" ht="15.75" x14ac:dyDescent="0.25">
      <c r="A13" s="4" t="s">
        <v>16</v>
      </c>
      <c r="B13" s="4">
        <v>4500</v>
      </c>
      <c r="C13" s="4">
        <v>1650</v>
      </c>
      <c r="D13" s="6">
        <f t="shared" si="1"/>
        <v>36.666666666666664</v>
      </c>
      <c r="E13" s="1">
        <f t="shared" ref="E13:E16" si="2">IF(D13&gt;=80,C13*0.1,0)</f>
        <v>0</v>
      </c>
    </row>
    <row r="14" spans="1:5" ht="15.75" x14ac:dyDescent="0.25">
      <c r="A14" s="4" t="s">
        <v>17</v>
      </c>
      <c r="B14" s="4">
        <v>7000</v>
      </c>
      <c r="C14" s="4">
        <v>5000</v>
      </c>
      <c r="D14" s="6">
        <f t="shared" si="1"/>
        <v>71.428571428571431</v>
      </c>
      <c r="E14" s="1">
        <f t="shared" si="2"/>
        <v>0</v>
      </c>
    </row>
    <row r="15" spans="1:5" ht="15.75" x14ac:dyDescent="0.25">
      <c r="A15" s="4" t="s">
        <v>18</v>
      </c>
      <c r="B15" s="4">
        <v>5000</v>
      </c>
      <c r="C15" s="4">
        <v>8000</v>
      </c>
      <c r="D15" s="6">
        <f t="shared" si="1"/>
        <v>160</v>
      </c>
      <c r="E15" s="1">
        <f t="shared" si="2"/>
        <v>800</v>
      </c>
    </row>
    <row r="16" spans="1:5" ht="15.75" x14ac:dyDescent="0.25">
      <c r="A16" s="4" t="s">
        <v>19</v>
      </c>
      <c r="B16" s="4">
        <v>3000</v>
      </c>
      <c r="C16" s="4">
        <v>2350</v>
      </c>
      <c r="D16" s="6">
        <f t="shared" si="1"/>
        <v>78.333333333333329</v>
      </c>
      <c r="E16" s="1">
        <f t="shared" si="2"/>
        <v>0</v>
      </c>
    </row>
    <row r="21" spans="3:11" ht="28.5" x14ac:dyDescent="0.25">
      <c r="C21" s="2" t="s">
        <v>10</v>
      </c>
      <c r="D21" s="7" t="s">
        <v>20</v>
      </c>
      <c r="E21" s="7" t="s">
        <v>21</v>
      </c>
      <c r="F21" s="7" t="s">
        <v>22</v>
      </c>
      <c r="G21" s="7" t="s">
        <v>23</v>
      </c>
      <c r="H21" s="7"/>
      <c r="K21" s="8">
        <v>0.7</v>
      </c>
    </row>
    <row r="22" spans="3:11" x14ac:dyDescent="0.25">
      <c r="C22" s="2" t="s">
        <v>25</v>
      </c>
      <c r="D22" s="7">
        <v>30</v>
      </c>
      <c r="E22" s="7">
        <v>46</v>
      </c>
      <c r="F22" s="2"/>
      <c r="G22" s="2"/>
      <c r="H22" s="2"/>
    </row>
    <row r="23" spans="3:11" x14ac:dyDescent="0.25">
      <c r="C23" s="2" t="s">
        <v>26</v>
      </c>
      <c r="D23" s="7">
        <v>36</v>
      </c>
      <c r="E23" s="7">
        <v>27</v>
      </c>
      <c r="F23" s="2"/>
      <c r="G23" s="2"/>
      <c r="H23" s="2"/>
    </row>
    <row r="24" spans="3:11" x14ac:dyDescent="0.25">
      <c r="C24" s="2" t="s">
        <v>27</v>
      </c>
      <c r="D24" s="7">
        <v>40</v>
      </c>
      <c r="E24" s="7">
        <v>42</v>
      </c>
      <c r="F24" s="2"/>
      <c r="G24" s="2"/>
      <c r="H24" s="2"/>
    </row>
    <row r="25" spans="3:11" x14ac:dyDescent="0.25">
      <c r="C25" s="2" t="s">
        <v>28</v>
      </c>
      <c r="D25" s="7">
        <v>32</v>
      </c>
      <c r="E25" s="7">
        <v>44</v>
      </c>
      <c r="F25" s="2"/>
      <c r="G25" s="2"/>
      <c r="H25" s="2"/>
    </row>
    <row r="26" spans="3:11" x14ac:dyDescent="0.25">
      <c r="C26" s="2" t="s">
        <v>29</v>
      </c>
      <c r="D26" s="7">
        <v>39</v>
      </c>
      <c r="E26" s="7">
        <v>48</v>
      </c>
      <c r="F26" s="2"/>
      <c r="G26" s="2"/>
      <c r="H26" s="2"/>
    </row>
    <row r="27" spans="3:11" x14ac:dyDescent="0.25">
      <c r="C27" s="2" t="s">
        <v>30</v>
      </c>
      <c r="D27" s="7">
        <v>48</v>
      </c>
      <c r="E27" s="7">
        <v>36</v>
      </c>
      <c r="F27" s="2"/>
      <c r="G27" s="2"/>
      <c r="H27" s="2"/>
    </row>
    <row r="28" spans="3:11" x14ac:dyDescent="0.25">
      <c r="C28" s="2" t="s">
        <v>31</v>
      </c>
      <c r="D28" s="7">
        <v>41</v>
      </c>
      <c r="E28" s="7">
        <v>32</v>
      </c>
      <c r="F28" s="2"/>
      <c r="G28" s="2"/>
      <c r="H28" s="2"/>
    </row>
    <row r="29" spans="3:11" x14ac:dyDescent="0.25">
      <c r="C29" s="2" t="s">
        <v>32</v>
      </c>
      <c r="D29" s="7">
        <v>26</v>
      </c>
      <c r="E29" s="7">
        <v>25</v>
      </c>
      <c r="F29" s="2"/>
      <c r="G29" s="2"/>
      <c r="H29" s="2"/>
    </row>
    <row r="30" spans="3:11" x14ac:dyDescent="0.25">
      <c r="C30" s="2" t="s">
        <v>33</v>
      </c>
      <c r="D30" s="7">
        <v>34</v>
      </c>
      <c r="E30" s="7">
        <v>42</v>
      </c>
      <c r="F30" s="2"/>
      <c r="G30" s="2"/>
      <c r="H30" s="2"/>
    </row>
    <row r="31" spans="3:11" x14ac:dyDescent="0.25">
      <c r="C31" s="2" t="s">
        <v>34</v>
      </c>
      <c r="D31" s="7">
        <v>37</v>
      </c>
      <c r="E31" s="7">
        <v>25</v>
      </c>
      <c r="F31" s="2"/>
      <c r="G31" s="2"/>
      <c r="H31" s="2"/>
    </row>
    <row r="37" spans="3:13" ht="28.5" x14ac:dyDescent="0.25">
      <c r="C37" s="2" t="s">
        <v>10</v>
      </c>
      <c r="D37" s="7" t="s">
        <v>20</v>
      </c>
      <c r="E37" s="7" t="s">
        <v>21</v>
      </c>
      <c r="F37" s="7" t="s">
        <v>22</v>
      </c>
      <c r="G37" s="7" t="s">
        <v>23</v>
      </c>
      <c r="H37" s="7" t="s">
        <v>24</v>
      </c>
      <c r="K37" s="9">
        <v>80</v>
      </c>
      <c r="L37" s="9" t="s">
        <v>40</v>
      </c>
      <c r="M37" s="9" t="s">
        <v>36</v>
      </c>
    </row>
    <row r="38" spans="3:13" x14ac:dyDescent="0.25">
      <c r="C38" s="2" t="s">
        <v>25</v>
      </c>
      <c r="D38" s="7">
        <v>30</v>
      </c>
      <c r="E38" s="7">
        <v>46</v>
      </c>
      <c r="F38" s="2">
        <f>D38+E38</f>
        <v>76</v>
      </c>
      <c r="G38" s="2" t="str">
        <f>IF(F38&gt;$K$40,"Pass","Fail")</f>
        <v>Pass</v>
      </c>
      <c r="H38" s="2" t="str">
        <f>IF(F38&gt;=$K$37,$M$37,IF(F38&gt;=$K$38,$M$38,IF(F38&gt;=$K$39,$M$39,IF(F38&gt;=$K$40,$M$40,$M$41))))</f>
        <v>A</v>
      </c>
      <c r="K38" s="12">
        <v>70</v>
      </c>
      <c r="L38" s="12" t="s">
        <v>40</v>
      </c>
      <c r="M38" s="12" t="s">
        <v>35</v>
      </c>
    </row>
    <row r="39" spans="3:13" x14ac:dyDescent="0.25">
      <c r="C39" s="15" t="s">
        <v>26</v>
      </c>
      <c r="D39" s="7">
        <v>36</v>
      </c>
      <c r="E39" s="7">
        <v>27</v>
      </c>
      <c r="F39" s="2">
        <f t="shared" ref="F39:F47" si="3">D39+E39</f>
        <v>63</v>
      </c>
      <c r="G39" s="2" t="str">
        <f t="shared" ref="G39:G47" si="4">IF(F39&gt;$K$40,"Pass","Fail")</f>
        <v>Pass</v>
      </c>
      <c r="H39" s="2" t="str">
        <f t="shared" ref="H39:H47" si="5">IF(F39&gt;=$K$37,$M$37,IF(F39&gt;=$K$38,$M$38,IF(F39&gt;=$K$39,$M$39,IF(F39&gt;=$K$40,$M$40,$M$41))))</f>
        <v>A-</v>
      </c>
      <c r="K39" s="11">
        <v>60</v>
      </c>
      <c r="L39" s="11" t="s">
        <v>40</v>
      </c>
      <c r="M39" s="11" t="s">
        <v>37</v>
      </c>
    </row>
    <row r="40" spans="3:13" x14ac:dyDescent="0.25">
      <c r="C40" s="15" t="s">
        <v>27</v>
      </c>
      <c r="D40" s="7">
        <v>40</v>
      </c>
      <c r="E40" s="7">
        <v>42</v>
      </c>
      <c r="F40" s="2">
        <f t="shared" si="3"/>
        <v>82</v>
      </c>
      <c r="G40" s="2" t="str">
        <f t="shared" si="4"/>
        <v>Pass</v>
      </c>
      <c r="H40" s="2" t="str">
        <f t="shared" si="5"/>
        <v>A+</v>
      </c>
      <c r="K40" s="10">
        <v>50</v>
      </c>
      <c r="L40" s="10" t="s">
        <v>40</v>
      </c>
      <c r="M40" s="10" t="s">
        <v>38</v>
      </c>
    </row>
    <row r="41" spans="3:13" x14ac:dyDescent="0.25">
      <c r="C41" s="15" t="s">
        <v>28</v>
      </c>
      <c r="D41" s="7">
        <v>32</v>
      </c>
      <c r="E41" s="7">
        <v>44</v>
      </c>
      <c r="F41" s="2">
        <f t="shared" si="3"/>
        <v>76</v>
      </c>
      <c r="G41" s="2" t="str">
        <f t="shared" si="4"/>
        <v>Pass</v>
      </c>
      <c r="H41" s="2" t="str">
        <f t="shared" si="5"/>
        <v>A</v>
      </c>
      <c r="K41" s="13">
        <v>40</v>
      </c>
      <c r="L41" s="13" t="s">
        <v>40</v>
      </c>
      <c r="M41" s="13" t="s">
        <v>39</v>
      </c>
    </row>
    <row r="42" spans="3:13" x14ac:dyDescent="0.25">
      <c r="C42" s="2" t="s">
        <v>29</v>
      </c>
      <c r="D42" s="7">
        <v>10</v>
      </c>
      <c r="E42" s="7">
        <v>28</v>
      </c>
      <c r="F42" s="2">
        <f t="shared" si="3"/>
        <v>38</v>
      </c>
      <c r="G42" s="2" t="str">
        <f t="shared" si="4"/>
        <v>Fail</v>
      </c>
      <c r="H42" s="2" t="str">
        <f t="shared" si="5"/>
        <v>Fail</v>
      </c>
    </row>
    <row r="43" spans="3:13" x14ac:dyDescent="0.25">
      <c r="C43" s="2" t="s">
        <v>30</v>
      </c>
      <c r="D43" s="7">
        <v>28</v>
      </c>
      <c r="E43" s="7">
        <v>36</v>
      </c>
      <c r="F43" s="2">
        <f t="shared" si="3"/>
        <v>64</v>
      </c>
      <c r="G43" s="2" t="str">
        <f t="shared" si="4"/>
        <v>Pass</v>
      </c>
      <c r="H43" s="2" t="str">
        <f t="shared" si="5"/>
        <v>A-</v>
      </c>
    </row>
    <row r="44" spans="3:13" x14ac:dyDescent="0.25">
      <c r="C44" s="2" t="s">
        <v>31</v>
      </c>
      <c r="D44" s="7">
        <v>25</v>
      </c>
      <c r="E44" s="7">
        <v>32</v>
      </c>
      <c r="F44" s="2">
        <f t="shared" si="3"/>
        <v>57</v>
      </c>
      <c r="G44" s="2" t="str">
        <f t="shared" si="4"/>
        <v>Pass</v>
      </c>
      <c r="H44" s="2" t="str">
        <f t="shared" si="5"/>
        <v>B</v>
      </c>
    </row>
    <row r="45" spans="3:13" x14ac:dyDescent="0.25">
      <c r="C45" s="2" t="s">
        <v>32</v>
      </c>
      <c r="D45" s="7">
        <v>26</v>
      </c>
      <c r="E45" s="7">
        <v>25</v>
      </c>
      <c r="F45" s="2">
        <f t="shared" si="3"/>
        <v>51</v>
      </c>
      <c r="G45" s="2" t="str">
        <f t="shared" si="4"/>
        <v>Pass</v>
      </c>
      <c r="H45" s="2" t="str">
        <f t="shared" si="5"/>
        <v>B</v>
      </c>
    </row>
    <row r="46" spans="3:13" x14ac:dyDescent="0.25">
      <c r="C46" s="2" t="s">
        <v>33</v>
      </c>
      <c r="D46" s="7">
        <v>34</v>
      </c>
      <c r="E46" s="7">
        <v>42</v>
      </c>
      <c r="F46" s="2">
        <f t="shared" si="3"/>
        <v>76</v>
      </c>
      <c r="G46" s="2" t="str">
        <f t="shared" si="4"/>
        <v>Pass</v>
      </c>
      <c r="H46" s="2" t="str">
        <f t="shared" si="5"/>
        <v>A</v>
      </c>
    </row>
    <row r="47" spans="3:13" x14ac:dyDescent="0.25">
      <c r="C47" s="2" t="s">
        <v>34</v>
      </c>
      <c r="D47" s="7">
        <v>37</v>
      </c>
      <c r="E47" s="7">
        <v>25</v>
      </c>
      <c r="F47" s="2">
        <f t="shared" si="3"/>
        <v>62</v>
      </c>
      <c r="G47" s="2" t="str">
        <f t="shared" si="4"/>
        <v>Pass</v>
      </c>
      <c r="H47" s="2" t="str">
        <f t="shared" si="5"/>
        <v>A-</v>
      </c>
    </row>
    <row r="48" spans="3:13" x14ac:dyDescent="0.25">
      <c r="K48" s="14"/>
    </row>
  </sheetData>
  <conditionalFormatting sqref="E3:E6">
    <cfRule type="cellIs" dxfId="13" priority="18" operator="greaterThan">
      <formula>0</formula>
    </cfRule>
    <cfRule type="cellIs" dxfId="12" priority="17" operator="equal">
      <formula>0</formula>
    </cfRule>
  </conditionalFormatting>
  <conditionalFormatting sqref="H38:H47">
    <cfRule type="cellIs" dxfId="4" priority="4" operator="equal">
      <formula>$M$37</formula>
    </cfRule>
  </conditionalFormatting>
  <conditionalFormatting sqref="H37:H47">
    <cfRule type="cellIs" dxfId="3" priority="3" operator="equal">
      <formula>$M$38</formula>
    </cfRule>
  </conditionalFormatting>
  <conditionalFormatting sqref="C38:H47">
    <cfRule type="expression" dxfId="2" priority="2">
      <formula>$H38=$M$37</formula>
    </cfRule>
    <cfRule type="expression" dxfId="1" priority="1">
      <formula>$H38=$M$38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2026-04-05T03:51:11Z</dcterms:created>
  <dcterms:modified xsi:type="dcterms:W3CDTF">2026-04-05T06:17:47Z</dcterms:modified>
</cp:coreProperties>
</file>